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ngujian Otomatis" sheetId="1" r:id="rId5"/>
    <sheet state="visible" name="Pengujian Manual" sheetId="2" r:id="rId6"/>
  </sheets>
  <definedNames/>
  <calcPr/>
</workbook>
</file>

<file path=xl/sharedStrings.xml><?xml version="1.0" encoding="utf-8"?>
<sst xmlns="http://schemas.openxmlformats.org/spreadsheetml/2006/main" count="126" uniqueCount="74">
  <si>
    <t>No</t>
  </si>
  <si>
    <t>T0: File Dibuat</t>
  </si>
  <si>
    <t>T1: Alert YARA</t>
  </si>
  <si>
    <t>T2: FIM mendeteksi penghapusan</t>
  </si>
  <si>
    <t>Deteksi berhasil</t>
  </si>
  <si>
    <t>Remediasi berhasil</t>
  </si>
  <si>
    <t>Waktu Deteksi (T1 - T0)</t>
  </si>
  <si>
    <t>Waktu Remediasi (T2 - T1)</t>
  </si>
  <si>
    <t>Total Waktu Proses (T2 - T0)</t>
  </si>
  <si>
    <t>Oct 18, 2026 @ 13:50:54.696</t>
  </si>
  <si>
    <t>Oct 13, 2026 @ 20:37:17.263</t>
  </si>
  <si>
    <t>Oct 18, 2026 @ 13:50:56.155</t>
  </si>
  <si>
    <t>Oct 18, 2026 @ 13:52:26.695</t>
  </si>
  <si>
    <t>Ya</t>
  </si>
  <si>
    <t>Oct 13, 2026 20:37:19.939</t>
  </si>
  <si>
    <t>Oct 13, 2026 20:37:27.952</t>
  </si>
  <si>
    <t>Oct 18, 2026 @ 14:04:35.235</t>
  </si>
  <si>
    <t>Oct 18, 2026 @ 14:04:37.521</t>
  </si>
  <si>
    <t>Oct 18, 2026 @ 14:06:12.772</t>
  </si>
  <si>
    <t>Oct 13, 2026 @ 21:17:26.179</t>
  </si>
  <si>
    <t>Oct 13, 2026 @ 21:17:27.484</t>
  </si>
  <si>
    <t>Oct 13, 2026 @ 21:17:33.889</t>
  </si>
  <si>
    <t>Oct 18, 2026 @ 14:30:00.474</t>
  </si>
  <si>
    <t>Oct 18, 2026 @ 14:30:02.081</t>
  </si>
  <si>
    <t>Oct 18, 2026 @ 14:31:12.161</t>
  </si>
  <si>
    <t>Oct 13, 2026 @ 21:21:26.206</t>
  </si>
  <si>
    <t>Oct 13, 2026 @ 21:21:27.533</t>
  </si>
  <si>
    <t>Oct 13, 2026 @ 21:21:31.545</t>
  </si>
  <si>
    <t>Oct 13, 2026 @ 21:22:14.238</t>
  </si>
  <si>
    <t>Oct 13, 2026 @ 21:22:15.556</t>
  </si>
  <si>
    <t>Oct 13, 2026 @ 21:22:22.109</t>
  </si>
  <si>
    <t>Oct 18, 2026 @ 14:38:54.900</t>
  </si>
  <si>
    <t>Oct 18, 2026 @ 14:38:56.194</t>
  </si>
  <si>
    <t>Oct 18, 2026 @ 14:40:09.430</t>
  </si>
  <si>
    <t>Oct 13, 2026 @ 21:25:16.158</t>
  </si>
  <si>
    <t>Oct 13, 2026 @ 21:25:17.625</t>
  </si>
  <si>
    <t>Oct 13, 2026 @ 21:25:25.546</t>
  </si>
  <si>
    <t>Oct 18, 2026 @ 14:46:53.121</t>
  </si>
  <si>
    <t>Oct 18, 2026 @ 14:46:54.311</t>
  </si>
  <si>
    <t>Oct 18, 2026 @ 14:47:56.125</t>
  </si>
  <si>
    <t>Oct 15, 2026 @ 23:05:40.662</t>
  </si>
  <si>
    <t>Oct 15, 2026 @ 23:05:41.974</t>
  </si>
  <si>
    <t>Oct 15, 2026 @ 23:05:46.892</t>
  </si>
  <si>
    <t>Oct 18, 2026 @ 22:17:49.534</t>
  </si>
  <si>
    <t>Oct 18, 2026 @ 22:17:51.685</t>
  </si>
  <si>
    <t>Oct 18, 2026 @ 22:19:01.959</t>
  </si>
  <si>
    <t>Oct 18, 2026 @ 22:27:42.570</t>
  </si>
  <si>
    <t>Oct 18, 2026 @ 22:27:43.749</t>
  </si>
  <si>
    <t>Oct 18, 2026 @ 22:29:00.657</t>
  </si>
  <si>
    <t>Oct 15, 2026 @ 23:07:57.324</t>
  </si>
  <si>
    <t>Oct 15, 2026 @ 23:07:59.688</t>
  </si>
  <si>
    <t>Oct 15, 2026 @ 23:08:05.215</t>
  </si>
  <si>
    <t>Oct 15, 2026 @ 23:10:37.393</t>
  </si>
  <si>
    <t>Oct 15, 2026 @ 23:10:39.721</t>
  </si>
  <si>
    <t>Oct 15, 2026 @ 23:10:45.654</t>
  </si>
  <si>
    <t>Oct 18, 2026 @ 22:31:39.691</t>
  </si>
  <si>
    <t>Oct 18, 2026 @ 22:31:41.776</t>
  </si>
  <si>
    <t>Oct 18, 2026 @ 22:33:00.309</t>
  </si>
  <si>
    <t>Oct 18, 2026 @ 22:36:49.701</t>
  </si>
  <si>
    <t>Oct 15, 2026 @ 23:12:43.754</t>
  </si>
  <si>
    <t>Oct 18, 2026 @ 22:36:51.822</t>
  </si>
  <si>
    <t>Oct 18, 2026 @ 22:37:43.575</t>
  </si>
  <si>
    <t>Oct 15, 2026 @ 23:12:45.751</t>
  </si>
  <si>
    <t>Oct 15, 2026 @ 23:12:50.899</t>
  </si>
  <si>
    <t>Oct 15, 2026 @ 23:41:26.155</t>
  </si>
  <si>
    <t>Oct 15, 2026 @ 23:41:27.443</t>
  </si>
  <si>
    <t>Oct 15, 2026 @ 23:41:36.346</t>
  </si>
  <si>
    <t>Oct 18, 2026 @ 22:40:58.364</t>
  </si>
  <si>
    <t>Oct 18, 2026 @ 22:40:59.854</t>
  </si>
  <si>
    <t>Oct 18, 2026 @ 22:42:14.136</t>
  </si>
  <si>
    <t>Rata-rata</t>
  </si>
  <si>
    <t>Waktu Tercepat</t>
  </si>
  <si>
    <t>Waktu Terlama</t>
  </si>
  <si>
    <t>Standar Deviasi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</si>
</sst>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m/d/yyyy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 vertical="center"/>
    </xf>
    <xf borderId="0" fillId="0" fontId="2" numFmtId="165" xfId="0" applyFont="1" applyNumberFormat="1"/>
    <xf borderId="1" fillId="0" fontId="2" numFmtId="0" xfId="0" applyBorder="1" applyFont="1"/>
    <xf borderId="2" fillId="0" fontId="2" numFmtId="0" xfId="0" applyBorder="1" applyFont="1"/>
    <xf borderId="3" fillId="2" fontId="1" numFmtId="0" xfId="0" applyAlignment="1" applyBorder="1" applyFill="1" applyFont="1">
      <alignment readingOrder="0"/>
    </xf>
    <xf borderId="3" fillId="3" fontId="1" numFmtId="0" xfId="0" applyAlignment="1" applyBorder="1" applyFill="1" applyFont="1">
      <alignment readingOrder="0"/>
    </xf>
    <xf borderId="1" fillId="0" fontId="2" numFmtId="164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26.63"/>
    <col customWidth="1" min="4" max="4" width="26.38"/>
    <col customWidth="1" min="6" max="6" width="18.0"/>
    <col customWidth="1" min="7" max="7" width="18.75"/>
    <col customWidth="1" min="8" max="8" width="21.0"/>
    <col customWidth="1" hidden="1" min="10" max="11" width="16.38"/>
    <col customWidth="1" hidden="1" min="12" max="12" width="23.0"/>
  </cols>
  <sheetData>
    <row r="1" ht="4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3">
        <v>1.0</v>
      </c>
      <c r="B2" s="5" t="s">
        <v>10</v>
      </c>
      <c r="C2" s="4" t="s">
        <v>14</v>
      </c>
      <c r="D2" s="4" t="s">
        <v>15</v>
      </c>
      <c r="E2" s="3" t="s">
        <v>13</v>
      </c>
      <c r="F2" s="3" t="s">
        <v>13</v>
      </c>
      <c r="G2" s="6">
        <f t="shared" ref="G2:H2" si="1">ROUND((K2-J2)*86400,3)</f>
        <v>2.676</v>
      </c>
      <c r="H2" s="6">
        <f t="shared" si="1"/>
        <v>8.013</v>
      </c>
      <c r="I2" s="6">
        <f t="shared" ref="I2:I11" si="4">ROUND((L2-J2)*86400,3)</f>
        <v>10.689</v>
      </c>
      <c r="J2" s="7">
        <f t="shared" ref="J2:L2" si="2">DATE(VALUE(MID(B2,FIND(",",B2)+2,4)),(FIND(LEFT(B2,3),"JanFebMarAprMayJunJulAugSepOctNovDec")+2)/3,VALUE(MID(B2,5,FIND(",",B2)-5)))+TIME(VALUE(LEFT(RIGHT(B2,12),2)),VALUE(MID(RIGHT(B2,12),4,2)),VALUE(MID(RIGHT(B2,12),7,2)))+VALUE(RIGHT(B2,3))/86400000</f>
        <v>46308.85923</v>
      </c>
      <c r="K2" s="7">
        <f t="shared" si="2"/>
        <v>46308.85926</v>
      </c>
      <c r="L2" s="7">
        <f t="shared" si="2"/>
        <v>46308.85935</v>
      </c>
    </row>
    <row r="3">
      <c r="A3" s="3">
        <v>2.0</v>
      </c>
      <c r="B3" s="5" t="s">
        <v>19</v>
      </c>
      <c r="C3" s="4" t="s">
        <v>20</v>
      </c>
      <c r="D3" s="4" t="s">
        <v>21</v>
      </c>
      <c r="E3" s="3" t="s">
        <v>13</v>
      </c>
      <c r="F3" s="3" t="s">
        <v>13</v>
      </c>
      <c r="G3" s="6">
        <f t="shared" ref="G3:H3" si="3">ROUND((K3-J3)*86400,3)</f>
        <v>1.305</v>
      </c>
      <c r="H3" s="6">
        <f t="shared" si="3"/>
        <v>6.405</v>
      </c>
      <c r="I3" s="6">
        <f t="shared" si="4"/>
        <v>7.71</v>
      </c>
      <c r="J3" s="7">
        <f t="shared" ref="J3:L3" si="5">DATE(VALUE(MID(B3,FIND(",",B3)+2,4)),(FIND(LEFT(B3,3),"JanFebMarAprMayJunJulAugSepOctNovDec")+2)/3,VALUE(MID(B3,5,FIND(",",B3)-5)))+TIME(VALUE(LEFT(RIGHT(B3,12),2)),VALUE(MID(RIGHT(B3,12),4,2)),VALUE(MID(RIGHT(B3,12),7,2)))+VALUE(RIGHT(B3,3))/86400000</f>
        <v>46308.88711</v>
      </c>
      <c r="K3" s="7">
        <f t="shared" si="5"/>
        <v>46308.88712</v>
      </c>
      <c r="L3" s="7">
        <f t="shared" si="5"/>
        <v>46308.8872</v>
      </c>
    </row>
    <row r="4">
      <c r="A4" s="3">
        <v>3.0</v>
      </c>
      <c r="B4" s="5" t="s">
        <v>25</v>
      </c>
      <c r="C4" s="4" t="s">
        <v>26</v>
      </c>
      <c r="D4" s="4" t="s">
        <v>27</v>
      </c>
      <c r="E4" s="3" t="s">
        <v>13</v>
      </c>
      <c r="F4" s="3" t="s">
        <v>13</v>
      </c>
      <c r="G4" s="6">
        <f t="shared" ref="G4:H4" si="6">ROUND((K4-J4)*86400,3)</f>
        <v>1.327</v>
      </c>
      <c r="H4" s="6">
        <f t="shared" si="6"/>
        <v>4.012</v>
      </c>
      <c r="I4" s="6">
        <f t="shared" si="4"/>
        <v>5.339</v>
      </c>
      <c r="J4" s="7">
        <f t="shared" ref="J4:L4" si="7">DATE(VALUE(MID(B4,FIND(",",B4)+2,4)),(FIND(LEFT(B4,3),"JanFebMarAprMayJunJulAugSepOctNovDec")+2)/3,VALUE(MID(B4,5,FIND(",",B4)-5)))+TIME(VALUE(LEFT(RIGHT(B4,12),2)),VALUE(MID(RIGHT(B4,12),4,2)),VALUE(MID(RIGHT(B4,12),7,2)))+VALUE(RIGHT(B4,3))/86400000</f>
        <v>46308.88989</v>
      </c>
      <c r="K4" s="7">
        <f t="shared" si="7"/>
        <v>46308.8899</v>
      </c>
      <c r="L4" s="7">
        <f t="shared" si="7"/>
        <v>46308.88995</v>
      </c>
    </row>
    <row r="5">
      <c r="A5" s="3">
        <v>4.0</v>
      </c>
      <c r="B5" s="5" t="s">
        <v>28</v>
      </c>
      <c r="C5" s="4" t="s">
        <v>29</v>
      </c>
      <c r="D5" s="4" t="s">
        <v>30</v>
      </c>
      <c r="E5" s="3" t="s">
        <v>13</v>
      </c>
      <c r="F5" s="3" t="s">
        <v>13</v>
      </c>
      <c r="G5" s="6">
        <f t="shared" ref="G5:H5" si="8">ROUND((K5-J5)*86400,3)</f>
        <v>1.318</v>
      </c>
      <c r="H5" s="6">
        <f t="shared" si="8"/>
        <v>6.553</v>
      </c>
      <c r="I5" s="6">
        <f t="shared" si="4"/>
        <v>7.871</v>
      </c>
      <c r="J5" s="7">
        <f t="shared" ref="J5:L5" si="9">DATE(VALUE(MID(B5,FIND(",",B5)+2,4)),(FIND(LEFT(B5,3),"JanFebMarAprMayJunJulAugSepOctNovDec")+2)/3,VALUE(MID(B5,5,FIND(",",B5)-5)))+TIME(VALUE(LEFT(RIGHT(B5,12),2)),VALUE(MID(RIGHT(B5,12),4,2)),VALUE(MID(RIGHT(B5,12),7,2)))+VALUE(RIGHT(B5,3))/86400000</f>
        <v>46308.89044</v>
      </c>
      <c r="K5" s="7">
        <f t="shared" si="9"/>
        <v>46308.89046</v>
      </c>
      <c r="L5" s="7">
        <f t="shared" si="9"/>
        <v>46308.89053</v>
      </c>
    </row>
    <row r="6">
      <c r="A6" s="3">
        <v>5.0</v>
      </c>
      <c r="B6" s="5" t="s">
        <v>34</v>
      </c>
      <c r="C6" s="4" t="s">
        <v>35</v>
      </c>
      <c r="D6" s="4" t="s">
        <v>36</v>
      </c>
      <c r="E6" s="3" t="s">
        <v>13</v>
      </c>
      <c r="F6" s="3" t="s">
        <v>13</v>
      </c>
      <c r="G6" s="6">
        <f t="shared" ref="G6:H6" si="10">ROUND((K6-J6)*86400,3)</f>
        <v>1.467</v>
      </c>
      <c r="H6" s="6">
        <f t="shared" si="10"/>
        <v>7.921</v>
      </c>
      <c r="I6" s="6">
        <f t="shared" si="4"/>
        <v>9.388</v>
      </c>
      <c r="J6" s="7">
        <f t="shared" ref="J6:L6" si="11">DATE(VALUE(MID(B6,FIND(",",B6)+2,4)),(FIND(LEFT(B6,3),"JanFebMarAprMayJunJulAugSepOctNovDec")+2)/3,VALUE(MID(B6,5,FIND(",",B6)-5)))+TIME(VALUE(LEFT(RIGHT(B6,12),2)),VALUE(MID(RIGHT(B6,12),4,2)),VALUE(MID(RIGHT(B6,12),7,2)))+VALUE(RIGHT(B6,3))/86400000</f>
        <v>46308.89255</v>
      </c>
      <c r="K6" s="7">
        <f t="shared" si="11"/>
        <v>46308.89257</v>
      </c>
      <c r="L6" s="7">
        <f t="shared" si="11"/>
        <v>46308.89266</v>
      </c>
    </row>
    <row r="7">
      <c r="A7" s="3">
        <v>6.0</v>
      </c>
      <c r="B7" s="4" t="s">
        <v>40</v>
      </c>
      <c r="C7" s="4" t="s">
        <v>41</v>
      </c>
      <c r="D7" s="4" t="s">
        <v>42</v>
      </c>
      <c r="E7" s="3" t="s">
        <v>13</v>
      </c>
      <c r="F7" s="3" t="s">
        <v>13</v>
      </c>
      <c r="G7" s="6">
        <f t="shared" ref="G7:H7" si="12">ROUND((K7-J7)*86400,3)</f>
        <v>1.312</v>
      </c>
      <c r="H7" s="6">
        <f t="shared" si="12"/>
        <v>4.918</v>
      </c>
      <c r="I7" s="6">
        <f t="shared" si="4"/>
        <v>6.23</v>
      </c>
      <c r="J7" s="7">
        <f t="shared" ref="J7:L7" si="13">DATE(VALUE(MID(B7,FIND(",",B7)+2,4)),(FIND(LEFT(B7,3),"JanFebMarAprMayJunJulAugSepOctNovDec")+2)/3,VALUE(MID(B7,5,FIND(",",B7)-5)))+TIME(VALUE(LEFT(RIGHT(B7,12),2)),VALUE(MID(RIGHT(B7,12),4,2)),VALUE(MID(RIGHT(B7,12),7,2)))+VALUE(RIGHT(B7,3))/86400000</f>
        <v>46310.96228</v>
      </c>
      <c r="K7" s="7">
        <f t="shared" si="13"/>
        <v>46310.96229</v>
      </c>
      <c r="L7" s="7">
        <f t="shared" si="13"/>
        <v>46310.96235</v>
      </c>
    </row>
    <row r="8">
      <c r="A8" s="3">
        <v>7.0</v>
      </c>
      <c r="B8" s="4" t="s">
        <v>49</v>
      </c>
      <c r="C8" s="4" t="s">
        <v>50</v>
      </c>
      <c r="D8" s="4" t="s">
        <v>51</v>
      </c>
      <c r="E8" s="3" t="s">
        <v>13</v>
      </c>
      <c r="F8" s="3" t="s">
        <v>13</v>
      </c>
      <c r="G8" s="6">
        <f t="shared" ref="G8:H8" si="14">ROUND((K8-J8)*86400,3)</f>
        <v>2.364</v>
      </c>
      <c r="H8" s="6">
        <f t="shared" si="14"/>
        <v>5.527</v>
      </c>
      <c r="I8" s="6">
        <f t="shared" si="4"/>
        <v>7.891</v>
      </c>
      <c r="J8" s="7">
        <f t="shared" ref="J8:L8" si="15">DATE(VALUE(MID(B8,FIND(",",B8)+2,4)),(FIND(LEFT(B8,3),"JanFebMarAprMayJunJulAugSepOctNovDec")+2)/3,VALUE(MID(B8,5,FIND(",",B8)-5)))+TIME(VALUE(LEFT(RIGHT(B8,12),2)),VALUE(MID(RIGHT(B8,12),4,2)),VALUE(MID(RIGHT(B8,12),7,2)))+VALUE(RIGHT(B8,3))/86400000</f>
        <v>46310.96386</v>
      </c>
      <c r="K8" s="7">
        <f t="shared" si="15"/>
        <v>46310.96389</v>
      </c>
      <c r="L8" s="7">
        <f t="shared" si="15"/>
        <v>46310.96395</v>
      </c>
    </row>
    <row r="9">
      <c r="A9" s="3">
        <v>8.0</v>
      </c>
      <c r="B9" s="4" t="s">
        <v>52</v>
      </c>
      <c r="C9" s="4" t="s">
        <v>53</v>
      </c>
      <c r="D9" s="4" t="s">
        <v>54</v>
      </c>
      <c r="E9" s="3" t="s">
        <v>13</v>
      </c>
      <c r="F9" s="3" t="s">
        <v>13</v>
      </c>
      <c r="G9" s="6">
        <f t="shared" ref="G9:H9" si="16">ROUND((K9-J9)*86400,3)</f>
        <v>2.328</v>
      </c>
      <c r="H9" s="6">
        <f t="shared" si="16"/>
        <v>5.933</v>
      </c>
      <c r="I9" s="6">
        <f t="shared" si="4"/>
        <v>8.261</v>
      </c>
      <c r="J9" s="7">
        <f t="shared" ref="J9:L9" si="17">DATE(VALUE(MID(B9,FIND(",",B9)+2,4)),(FIND(LEFT(B9,3),"JanFebMarAprMayJunJulAugSepOctNovDec")+2)/3,VALUE(MID(B9,5,FIND(",",B9)-5)))+TIME(VALUE(LEFT(RIGHT(B9,12),2)),VALUE(MID(RIGHT(B9,12),4,2)),VALUE(MID(RIGHT(B9,12),7,2)))+VALUE(RIGHT(B9,3))/86400000</f>
        <v>46310.96571</v>
      </c>
      <c r="K9" s="7">
        <f t="shared" si="17"/>
        <v>46310.96574</v>
      </c>
      <c r="L9" s="7">
        <f t="shared" si="17"/>
        <v>46310.96581</v>
      </c>
    </row>
    <row r="10">
      <c r="A10" s="3">
        <v>9.0</v>
      </c>
      <c r="B10" s="4" t="s">
        <v>59</v>
      </c>
      <c r="C10" s="4" t="s">
        <v>62</v>
      </c>
      <c r="D10" s="4" t="s">
        <v>63</v>
      </c>
      <c r="E10" s="3" t="s">
        <v>13</v>
      </c>
      <c r="F10" s="3" t="s">
        <v>13</v>
      </c>
      <c r="G10" s="6">
        <f t="shared" ref="G10:H10" si="18">ROUND((K10-J10)*86400,3)</f>
        <v>1.997</v>
      </c>
      <c r="H10" s="6">
        <f t="shared" si="18"/>
        <v>5.148</v>
      </c>
      <c r="I10" s="6">
        <f t="shared" si="4"/>
        <v>7.145</v>
      </c>
      <c r="J10" s="7">
        <f t="shared" ref="J10:L10" si="19">DATE(VALUE(MID(B10,FIND(",",B10)+2,4)),(FIND(LEFT(B10,3),"JanFebMarAprMayJunJulAugSepOctNovDec")+2)/3,VALUE(MID(B10,5,FIND(",",B10)-5)))+TIME(VALUE(LEFT(RIGHT(B10,12),2)),VALUE(MID(RIGHT(B10,12),4,2)),VALUE(MID(RIGHT(B10,12),7,2)))+VALUE(RIGHT(B10,3))/86400000</f>
        <v>46310.96717</v>
      </c>
      <c r="K10" s="7">
        <f t="shared" si="19"/>
        <v>46310.9672</v>
      </c>
      <c r="L10" s="7">
        <f t="shared" si="19"/>
        <v>46310.96726</v>
      </c>
    </row>
    <row r="11">
      <c r="A11" s="3">
        <v>10.0</v>
      </c>
      <c r="B11" s="4" t="s">
        <v>64</v>
      </c>
      <c r="C11" s="4" t="s">
        <v>65</v>
      </c>
      <c r="D11" s="4" t="s">
        <v>66</v>
      </c>
      <c r="E11" s="3" t="s">
        <v>13</v>
      </c>
      <c r="F11" s="3" t="s">
        <v>13</v>
      </c>
      <c r="G11" s="6">
        <f t="shared" ref="G11:H11" si="20">ROUND((K11-J11)*86400,3)</f>
        <v>1.288</v>
      </c>
      <c r="H11" s="6">
        <f t="shared" si="20"/>
        <v>8.903</v>
      </c>
      <c r="I11" s="6">
        <f t="shared" si="4"/>
        <v>10.191</v>
      </c>
      <c r="J11" s="7">
        <f t="shared" ref="J11:L11" si="21">DATE(VALUE(MID(B11,FIND(",",B11)+2,4)),(FIND(LEFT(B11,3),"JanFebMarAprMayJunJulAugSepOctNovDec")+2)/3,VALUE(MID(B11,5,FIND(",",B11)-5)))+TIME(VALUE(LEFT(RIGHT(B11,12),2)),VALUE(MID(RIGHT(B11,12),4,2)),VALUE(MID(RIGHT(B11,12),7,2)))+VALUE(RIGHT(B11,3))/86400000</f>
        <v>46310.98711</v>
      </c>
      <c r="K11" s="7">
        <f t="shared" si="21"/>
        <v>46310.98712</v>
      </c>
      <c r="L11" s="7">
        <f t="shared" si="21"/>
        <v>46310.98723</v>
      </c>
    </row>
    <row r="12">
      <c r="A12" s="8"/>
      <c r="B12" s="9"/>
      <c r="F12" s="11" t="s">
        <v>70</v>
      </c>
      <c r="G12" s="12">
        <f t="shared" ref="G12:I12" si="22">AVERAGE(G2:G11)</f>
        <v>1.7382</v>
      </c>
      <c r="H12" s="12">
        <f t="shared" si="22"/>
        <v>6.3333</v>
      </c>
      <c r="I12" s="13">
        <f t="shared" si="22"/>
        <v>8.0715</v>
      </c>
    </row>
    <row r="13">
      <c r="F13" s="15" t="s">
        <v>71</v>
      </c>
      <c r="G13" s="12">
        <f t="shared" ref="G13:H13" si="23">MIN(G2:G11)</f>
        <v>1.288</v>
      </c>
      <c r="H13" s="12">
        <f t="shared" si="23"/>
        <v>4.012</v>
      </c>
    </row>
    <row r="14">
      <c r="F14" s="15" t="s">
        <v>72</v>
      </c>
      <c r="G14" s="12">
        <f t="shared" ref="G14:H14" si="24">MAX(G2:G11)</f>
        <v>2.676</v>
      </c>
      <c r="H14" s="12">
        <f t="shared" si="24"/>
        <v>8.903</v>
      </c>
    </row>
    <row r="15">
      <c r="F15" s="15" t="s">
        <v>73</v>
      </c>
      <c r="G15" s="16">
        <f t="shared" ref="G15:H15" si="25">_xlfn.STDEV.S(G2:G11)</f>
        <v>0.5453976735</v>
      </c>
      <c r="H15" s="16">
        <f t="shared" si="25"/>
        <v>1.549399672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5"/>
    <col customWidth="1" min="3" max="3" width="26.63"/>
    <col customWidth="1" min="4" max="4" width="26.38"/>
    <col customWidth="1" min="6" max="6" width="18.0"/>
    <col customWidth="1" min="7" max="7" width="18.75"/>
    <col customWidth="1" min="8" max="8" width="21.0"/>
    <col customWidth="1" hidden="1" min="10" max="11" width="16.38"/>
    <col customWidth="1" hidden="1" min="12" max="12" width="23.0"/>
  </cols>
  <sheetData>
    <row r="1" ht="40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3">
        <v>1.0</v>
      </c>
      <c r="B2" s="4" t="s">
        <v>9</v>
      </c>
      <c r="C2" s="4" t="s">
        <v>11</v>
      </c>
      <c r="D2" s="4" t="s">
        <v>12</v>
      </c>
      <c r="E2" s="3" t="s">
        <v>13</v>
      </c>
      <c r="F2" s="3" t="s">
        <v>13</v>
      </c>
      <c r="G2" s="6">
        <f t="shared" ref="G2:H2" si="1">ROUND((K2-J2)*86400,3)</f>
        <v>1.459</v>
      </c>
      <c r="H2" s="6">
        <f t="shared" si="1"/>
        <v>90.54</v>
      </c>
      <c r="I2" s="6">
        <f t="shared" ref="I2:I11" si="4">ROUND((L2-J2)*86400,3)</f>
        <v>91.999</v>
      </c>
      <c r="J2" s="7">
        <f t="shared" ref="J2:L2" si="2">DATE(VALUE(MID(B2,FIND(",",B2)+2,4)),(FIND(LEFT(B2,3),"JanFebMarAprMayJunJulAugSepOctNovDec")+2)/3,VALUE(MID(B2,5,FIND(",",B2)-5)))+TIME(VALUE(LEFT(RIGHT(B2,12),2)),VALUE(MID(RIGHT(B2,12),4,2)),VALUE(MID(RIGHT(B2,12),7,2)))+VALUE(RIGHT(B2,3))/86400000</f>
        <v>46313.57702</v>
      </c>
      <c r="K2" s="7">
        <f t="shared" si="2"/>
        <v>46313.57704</v>
      </c>
      <c r="L2" s="7">
        <f t="shared" si="2"/>
        <v>46313.57809</v>
      </c>
    </row>
    <row r="3">
      <c r="A3" s="3">
        <v>2.0</v>
      </c>
      <c r="B3" s="4" t="s">
        <v>16</v>
      </c>
      <c r="C3" s="4" t="s">
        <v>17</v>
      </c>
      <c r="D3" s="4" t="s">
        <v>18</v>
      </c>
      <c r="E3" s="3" t="s">
        <v>13</v>
      </c>
      <c r="F3" s="3" t="s">
        <v>13</v>
      </c>
      <c r="G3" s="6">
        <f t="shared" ref="G3:H3" si="3">ROUND((K3-J3)*86400,3)</f>
        <v>2.286</v>
      </c>
      <c r="H3" s="6">
        <f t="shared" si="3"/>
        <v>95.251</v>
      </c>
      <c r="I3" s="6">
        <f t="shared" si="4"/>
        <v>97.537</v>
      </c>
      <c r="J3" s="7">
        <f t="shared" ref="J3:L3" si="5">DATE(VALUE(MID(B3,FIND(",",B3)+2,4)),(FIND(LEFT(B3,3),"JanFebMarAprMayJunJulAugSepOctNovDec")+2)/3,VALUE(MID(B3,5,FIND(",",B3)-5)))+TIME(VALUE(LEFT(RIGHT(B3,12),2)),VALUE(MID(RIGHT(B3,12),4,2)),VALUE(MID(RIGHT(B3,12),7,2)))+VALUE(RIGHT(B3,3))/86400000</f>
        <v>46313.58652</v>
      </c>
      <c r="K3" s="7">
        <f t="shared" si="5"/>
        <v>46313.58655</v>
      </c>
      <c r="L3" s="7">
        <f t="shared" si="5"/>
        <v>46313.58765</v>
      </c>
    </row>
    <row r="4">
      <c r="A4" s="3">
        <v>3.0</v>
      </c>
      <c r="B4" s="4" t="s">
        <v>22</v>
      </c>
      <c r="C4" s="4" t="s">
        <v>23</v>
      </c>
      <c r="D4" s="4" t="s">
        <v>24</v>
      </c>
      <c r="E4" s="3" t="s">
        <v>13</v>
      </c>
      <c r="F4" s="3" t="s">
        <v>13</v>
      </c>
      <c r="G4" s="6">
        <f t="shared" ref="G4:H4" si="6">ROUND((K4-J4)*86400,3)</f>
        <v>1.607</v>
      </c>
      <c r="H4" s="6">
        <f t="shared" si="6"/>
        <v>70.08</v>
      </c>
      <c r="I4" s="6">
        <f t="shared" si="4"/>
        <v>71.687</v>
      </c>
      <c r="J4" s="7">
        <f t="shared" ref="J4:L4" si="7">DATE(VALUE(MID(B4,FIND(",",B4)+2,4)),(FIND(LEFT(B4,3),"JanFebMarAprMayJunJulAugSepOctNovDec")+2)/3,VALUE(MID(B4,5,FIND(",",B4)-5)))+TIME(VALUE(LEFT(RIGHT(B4,12),2)),VALUE(MID(RIGHT(B4,12),4,2)),VALUE(MID(RIGHT(B4,12),7,2)))+VALUE(RIGHT(B4,3))/86400000</f>
        <v>46313.60417</v>
      </c>
      <c r="K4" s="7">
        <f t="shared" si="7"/>
        <v>46313.60419</v>
      </c>
      <c r="L4" s="7">
        <f t="shared" si="7"/>
        <v>46313.605</v>
      </c>
    </row>
    <row r="5">
      <c r="A5" s="3">
        <v>4.0</v>
      </c>
      <c r="B5" s="4" t="s">
        <v>31</v>
      </c>
      <c r="C5" s="4" t="s">
        <v>32</v>
      </c>
      <c r="D5" s="4" t="s">
        <v>33</v>
      </c>
      <c r="E5" s="3" t="s">
        <v>13</v>
      </c>
      <c r="F5" s="3" t="s">
        <v>13</v>
      </c>
      <c r="G5" s="6">
        <f t="shared" ref="G5:H5" si="8">ROUND((K5-J5)*86400,3)</f>
        <v>1.294</v>
      </c>
      <c r="H5" s="6">
        <f t="shared" si="8"/>
        <v>73.236</v>
      </c>
      <c r="I5" s="6">
        <f t="shared" si="4"/>
        <v>74.53</v>
      </c>
      <c r="J5" s="7">
        <f t="shared" ref="J5:L5" si="9">DATE(VALUE(MID(B5,FIND(",",B5)+2,4)),(FIND(LEFT(B5,3),"JanFebMarAprMayJunJulAugSepOctNovDec")+2)/3,VALUE(MID(B5,5,FIND(",",B5)-5)))+TIME(VALUE(LEFT(RIGHT(B5,12),2)),VALUE(MID(RIGHT(B5,12),4,2)),VALUE(MID(RIGHT(B5,12),7,2)))+VALUE(RIGHT(B5,3))/86400000</f>
        <v>46313.61036</v>
      </c>
      <c r="K5" s="7">
        <f t="shared" si="9"/>
        <v>46313.61037</v>
      </c>
      <c r="L5" s="7">
        <f t="shared" si="9"/>
        <v>46313.61122</v>
      </c>
    </row>
    <row r="6">
      <c r="A6" s="3">
        <v>5.0</v>
      </c>
      <c r="B6" s="4" t="s">
        <v>37</v>
      </c>
      <c r="C6" s="4" t="s">
        <v>38</v>
      </c>
      <c r="D6" s="4" t="s">
        <v>39</v>
      </c>
      <c r="E6" s="3" t="s">
        <v>13</v>
      </c>
      <c r="F6" s="3" t="s">
        <v>13</v>
      </c>
      <c r="G6" s="6">
        <f t="shared" ref="G6:H6" si="10">ROUND((K6-J6)*86400,3)</f>
        <v>1.19</v>
      </c>
      <c r="H6" s="6">
        <f t="shared" si="10"/>
        <v>61.814</v>
      </c>
      <c r="I6" s="6">
        <f t="shared" si="4"/>
        <v>63.004</v>
      </c>
      <c r="J6" s="7">
        <f t="shared" ref="J6:L6" si="11">DATE(VALUE(MID(B6,FIND(",",B6)+2,4)),(FIND(LEFT(B6,3),"JanFebMarAprMayJunJulAugSepOctNovDec")+2)/3,VALUE(MID(B6,5,FIND(",",B6)-5)))+TIME(VALUE(LEFT(RIGHT(B6,12),2)),VALUE(MID(RIGHT(B6,12),4,2)),VALUE(MID(RIGHT(B6,12),7,2)))+VALUE(RIGHT(B6,3))/86400000</f>
        <v>46313.61589</v>
      </c>
      <c r="K6" s="7">
        <f t="shared" si="11"/>
        <v>46313.61591</v>
      </c>
      <c r="L6" s="7">
        <f t="shared" si="11"/>
        <v>46313.61662</v>
      </c>
    </row>
    <row r="7">
      <c r="A7" s="3">
        <v>6.0</v>
      </c>
      <c r="B7" s="4" t="s">
        <v>43</v>
      </c>
      <c r="C7" s="4" t="s">
        <v>44</v>
      </c>
      <c r="D7" s="4" t="s">
        <v>45</v>
      </c>
      <c r="E7" s="3" t="s">
        <v>13</v>
      </c>
      <c r="F7" s="3" t="s">
        <v>13</v>
      </c>
      <c r="G7" s="6">
        <f t="shared" ref="G7:H7" si="12">ROUND((K7-J7)*86400,3)</f>
        <v>2.151</v>
      </c>
      <c r="H7" s="6">
        <f t="shared" si="12"/>
        <v>70.274</v>
      </c>
      <c r="I7" s="6">
        <f t="shared" si="4"/>
        <v>72.425</v>
      </c>
      <c r="J7" s="7">
        <f t="shared" ref="J7:L7" si="13">DATE(VALUE(MID(B7,FIND(",",B7)+2,4)),(FIND(LEFT(B7,3),"JanFebMarAprMayJunJulAugSepOctNovDec")+2)/3,VALUE(MID(B7,5,FIND(",",B7)-5)))+TIME(VALUE(LEFT(RIGHT(B7,12),2)),VALUE(MID(RIGHT(B7,12),4,2)),VALUE(MID(RIGHT(B7,12),7,2)))+VALUE(RIGHT(B7,3))/86400000</f>
        <v>46313.92905</v>
      </c>
      <c r="K7" s="7">
        <f t="shared" si="13"/>
        <v>46313.92907</v>
      </c>
      <c r="L7" s="7">
        <f t="shared" si="13"/>
        <v>46313.92988</v>
      </c>
    </row>
    <row r="8">
      <c r="A8" s="3">
        <v>7.0</v>
      </c>
      <c r="B8" s="4" t="s">
        <v>46</v>
      </c>
      <c r="C8" s="4" t="s">
        <v>47</v>
      </c>
      <c r="D8" s="4" t="s">
        <v>48</v>
      </c>
      <c r="E8" s="3" t="s">
        <v>13</v>
      </c>
      <c r="F8" s="3" t="s">
        <v>13</v>
      </c>
      <c r="G8" s="6">
        <f t="shared" ref="G8:H8" si="14">ROUND((K8-J8)*86400,3)</f>
        <v>1.179</v>
      </c>
      <c r="H8" s="6">
        <f t="shared" si="14"/>
        <v>76.908</v>
      </c>
      <c r="I8" s="6">
        <f t="shared" si="4"/>
        <v>78.087</v>
      </c>
      <c r="J8" s="7">
        <f t="shared" ref="J8:L8" si="15">DATE(VALUE(MID(B8,FIND(",",B8)+2,4)),(FIND(LEFT(B8,3),"JanFebMarAprMayJunJulAugSepOctNovDec")+2)/3,VALUE(MID(B8,5,FIND(",",B8)-5)))+TIME(VALUE(LEFT(RIGHT(B8,12),2)),VALUE(MID(RIGHT(B8,12),4,2)),VALUE(MID(RIGHT(B8,12),7,2)))+VALUE(RIGHT(B8,3))/86400000</f>
        <v>46313.93591</v>
      </c>
      <c r="K8" s="7">
        <f t="shared" si="15"/>
        <v>46313.93592</v>
      </c>
      <c r="L8" s="7">
        <f t="shared" si="15"/>
        <v>46313.93681</v>
      </c>
    </row>
    <row r="9">
      <c r="A9" s="3">
        <v>8.0</v>
      </c>
      <c r="B9" s="4" t="s">
        <v>55</v>
      </c>
      <c r="C9" s="4" t="s">
        <v>56</v>
      </c>
      <c r="D9" s="4" t="s">
        <v>57</v>
      </c>
      <c r="E9" s="3" t="s">
        <v>13</v>
      </c>
      <c r="F9" s="3" t="s">
        <v>13</v>
      </c>
      <c r="G9" s="6">
        <f t="shared" ref="G9:H9" si="16">ROUND((K9-J9)*86400,3)</f>
        <v>2.085</v>
      </c>
      <c r="H9" s="6">
        <f t="shared" si="16"/>
        <v>78.533</v>
      </c>
      <c r="I9" s="6">
        <f t="shared" si="4"/>
        <v>80.618</v>
      </c>
      <c r="J9" s="7">
        <f t="shared" ref="J9:L9" si="17">DATE(VALUE(MID(B9,FIND(",",B9)+2,4)),(FIND(LEFT(B9,3),"JanFebMarAprMayJunJulAugSepOctNovDec")+2)/3,VALUE(MID(B9,5,FIND(",",B9)-5)))+TIME(VALUE(LEFT(RIGHT(B9,12),2)),VALUE(MID(RIGHT(B9,12),4,2)),VALUE(MID(RIGHT(B9,12),7,2)))+VALUE(RIGHT(B9,3))/86400000</f>
        <v>46313.93865</v>
      </c>
      <c r="K9" s="7">
        <f t="shared" si="17"/>
        <v>46313.93868</v>
      </c>
      <c r="L9" s="7">
        <f t="shared" si="17"/>
        <v>46313.93959</v>
      </c>
    </row>
    <row r="10">
      <c r="A10" s="3">
        <v>9.0</v>
      </c>
      <c r="B10" s="4" t="s">
        <v>58</v>
      </c>
      <c r="C10" s="4" t="s">
        <v>60</v>
      </c>
      <c r="D10" s="4" t="s">
        <v>61</v>
      </c>
      <c r="E10" s="3" t="s">
        <v>13</v>
      </c>
      <c r="F10" s="3" t="s">
        <v>13</v>
      </c>
      <c r="G10" s="6">
        <f t="shared" ref="G10:H10" si="18">ROUND((K10-J10)*86400,3)</f>
        <v>2.121</v>
      </c>
      <c r="H10" s="6">
        <f t="shared" si="18"/>
        <v>51.753</v>
      </c>
      <c r="I10" s="6">
        <f t="shared" si="4"/>
        <v>53.874</v>
      </c>
      <c r="J10" s="7">
        <f t="shared" ref="J10:L10" si="19">DATE(VALUE(MID(B10,FIND(",",B10)+2,4)),(FIND(LEFT(B10,3),"JanFebMarAprMayJunJulAugSepOctNovDec")+2)/3,VALUE(MID(B10,5,FIND(",",B10)-5)))+TIME(VALUE(LEFT(RIGHT(B10,12),2)),VALUE(MID(RIGHT(B10,12),4,2)),VALUE(MID(RIGHT(B10,12),7,2)))+VALUE(RIGHT(B10,3))/86400000</f>
        <v>46313.94224</v>
      </c>
      <c r="K10" s="7">
        <f t="shared" si="19"/>
        <v>46313.94227</v>
      </c>
      <c r="L10" s="7">
        <f t="shared" si="19"/>
        <v>46313.94287</v>
      </c>
    </row>
    <row r="11">
      <c r="A11" s="3">
        <v>10.0</v>
      </c>
      <c r="B11" s="4" t="s">
        <v>67</v>
      </c>
      <c r="C11" s="4" t="s">
        <v>68</v>
      </c>
      <c r="D11" s="4" t="s">
        <v>69</v>
      </c>
      <c r="E11" s="3" t="s">
        <v>13</v>
      </c>
      <c r="F11" s="3" t="s">
        <v>13</v>
      </c>
      <c r="G11" s="6">
        <f t="shared" ref="G11:H11" si="20">ROUND((K11-J11)*86400,3)</f>
        <v>1.49</v>
      </c>
      <c r="H11" s="6">
        <f t="shared" si="20"/>
        <v>74.282</v>
      </c>
      <c r="I11" s="6">
        <f t="shared" si="4"/>
        <v>75.772</v>
      </c>
      <c r="J11" s="7">
        <f t="shared" ref="J11:L11" si="21">DATE(VALUE(MID(B11,FIND(",",B11)+2,4)),(FIND(LEFT(B11,3),"JanFebMarAprMayJunJulAugSepOctNovDec")+2)/3,VALUE(MID(B11,5,FIND(",",B11)-5)))+TIME(VALUE(LEFT(RIGHT(B11,12),2)),VALUE(MID(RIGHT(B11,12),4,2)),VALUE(MID(RIGHT(B11,12),7,2)))+VALUE(RIGHT(B11,3))/86400000</f>
        <v>46313.94512</v>
      </c>
      <c r="K11" s="7">
        <f t="shared" si="21"/>
        <v>46313.94514</v>
      </c>
      <c r="L11" s="7">
        <f t="shared" si="21"/>
        <v>46313.946</v>
      </c>
    </row>
    <row r="12">
      <c r="A12" s="8"/>
      <c r="B12" s="9"/>
      <c r="F12" s="10" t="s">
        <v>70</v>
      </c>
      <c r="G12" s="12">
        <f t="shared" ref="G12:I12" si="22">AVERAGE(G2:G11)</f>
        <v>1.6862</v>
      </c>
      <c r="H12" s="12">
        <f t="shared" si="22"/>
        <v>74.2671</v>
      </c>
      <c r="I12" s="13">
        <f t="shared" si="22"/>
        <v>75.9533</v>
      </c>
    </row>
    <row r="13">
      <c r="F13" s="14" t="s">
        <v>71</v>
      </c>
      <c r="G13" s="12">
        <f t="shared" ref="G13:I13" si="23">MIN(G2:G11)</f>
        <v>1.179</v>
      </c>
      <c r="H13" s="12">
        <f t="shared" si="23"/>
        <v>51.753</v>
      </c>
      <c r="I13" s="12">
        <f t="shared" si="23"/>
        <v>53.874</v>
      </c>
    </row>
    <row r="14">
      <c r="F14" s="14" t="s">
        <v>72</v>
      </c>
      <c r="G14" s="12">
        <f t="shared" ref="G14:I14" si="24">MAX(G2:G11)</f>
        <v>2.286</v>
      </c>
      <c r="H14" s="12">
        <f t="shared" si="24"/>
        <v>95.251</v>
      </c>
      <c r="I14" s="12">
        <f t="shared" si="24"/>
        <v>97.537</v>
      </c>
    </row>
    <row r="15">
      <c r="F15" s="14" t="s">
        <v>73</v>
      </c>
      <c r="G15" s="16">
        <f t="shared" ref="G15:I15" si="25">_xlfn.STDEV.S(G2:G11)</f>
        <v>0.4317362364</v>
      </c>
      <c r="H15" s="16">
        <f t="shared" si="25"/>
        <v>12.59103751</v>
      </c>
      <c r="I15" s="16">
        <f t="shared" si="25"/>
        <v>12.63821992</v>
      </c>
    </row>
  </sheetData>
  <drawing r:id="rId1"/>
</worksheet>
</file>